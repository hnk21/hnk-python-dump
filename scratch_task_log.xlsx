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581" documentId="11_E60897F41BE170836B02CE998F75CCDC64E183C8" xr6:coauthVersionLast="47" xr6:coauthVersionMax="47" xr10:uidLastSave="{EDFEFD88-92F4-4CFD-9D67-FBC425D67108}"/>
  <bookViews>
    <workbookView xWindow="240" yWindow="105" windowWidth="14805" windowHeight="8010" firstSheet="1" xr2:uid="{00000000-000D-0000-FFFF-FFFF00000000}"/>
  </bookViews>
  <sheets>
    <sheet name="TaskList" sheetId="2" r:id="rId1"/>
    <sheet name="Manual_Log" sheetId="1" r:id="rId2"/>
    <sheet name="Settings_" sheetId="4" r:id="rId3"/>
    <sheet name="_" sheetId="3" r:id="rId4"/>
  </sheets>
  <definedNames>
    <definedName name="_xlnm._FilterDatabase" localSheetId="1" hidden="1">Manual_Log!$E$1:$J$33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7" i="1" l="1"/>
  <c r="I18" i="1"/>
  <c r="I19" i="1"/>
  <c r="I20" i="1"/>
  <c r="I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C1" i="1"/>
</calcChain>
</file>

<file path=xl/sharedStrings.xml><?xml version="1.0" encoding="utf-8"?>
<sst xmlns="http://schemas.openxmlformats.org/spreadsheetml/2006/main" count="109" uniqueCount="64">
  <si>
    <t>task_code</t>
  </si>
  <si>
    <t>description</t>
  </si>
  <si>
    <t>cadence</t>
  </si>
  <si>
    <t>category</t>
  </si>
  <si>
    <t>QAM_UNSEC</t>
  </si>
  <si>
    <t>Quality Assurance - Manual - Unsecured Applications</t>
  </si>
  <si>
    <t>daily</t>
  </si>
  <si>
    <t>QAM_AUTO</t>
  </si>
  <si>
    <t>Quality Assurance - Manual - Secured - Auto Loans</t>
  </si>
  <si>
    <t>weekly</t>
  </si>
  <si>
    <t>QAM_MORT</t>
  </si>
  <si>
    <t>Quality Assurance - Manual - Secured - New and Existing Legal Mortgages (NLM &amp; ELM); International Property Loans (IPL)</t>
  </si>
  <si>
    <t>QAM_PBSF</t>
  </si>
  <si>
    <t>Quality Assurance - Manual - Private Banking - Technical Shortfalls</t>
  </si>
  <si>
    <t>QAM_SIL</t>
  </si>
  <si>
    <t>Quality Assurance - Manual - Secured - Investment Lending - Non Legal Mortgages</t>
  </si>
  <si>
    <t>monthly</t>
  </si>
  <si>
    <t>QAA_A_UNSEC</t>
  </si>
  <si>
    <t>Quality Assurance - Analytics Code Run - Unsecured</t>
  </si>
  <si>
    <t>QAA_A_AUTO</t>
  </si>
  <si>
    <t>Quality Assurance - Analytics Code Run - Secured - Auto Loans</t>
  </si>
  <si>
    <t>QAA_A_MORT</t>
  </si>
  <si>
    <t>Quality Assurance - Analytics Code Run - Secured - Mortgages</t>
  </si>
  <si>
    <t>QAA_B_</t>
  </si>
  <si>
    <t>Quality Assurance - Analytics Code Run - Reinstatement of Accounts</t>
  </si>
  <si>
    <t xml:space="preserve">Quality Assurance - Analytics Code Run - </t>
  </si>
  <si>
    <t>QAA_C_CO</t>
  </si>
  <si>
    <t>Quality Assurance - Analytics Code Run - Pre-Charge Off and Charge Off of Accounts</t>
  </si>
  <si>
    <t>QAA_D_WD</t>
  </si>
  <si>
    <t>Quality Assurance - Analytics Code Run - Write Down of Secured Accounts</t>
  </si>
  <si>
    <t>QAR_MANUAL</t>
  </si>
  <si>
    <t>Quality Assurance - Monthly Manual Report</t>
  </si>
  <si>
    <t>QAR_ANALYTICS</t>
  </si>
  <si>
    <t>Quality Assurance - Monthly Analytics Report</t>
  </si>
  <si>
    <t>QAR_REGION</t>
  </si>
  <si>
    <t>Quality Assurance - Monthly Personal Financial Services SEA Regional Report</t>
  </si>
  <si>
    <t>today_date</t>
  </si>
  <si>
    <t>period</t>
  </si>
  <si>
    <t>#_items</t>
  </si>
  <si>
    <t>#_done</t>
  </si>
  <si>
    <t>progress</t>
  </si>
  <si>
    <t>completed</t>
  </si>
  <si>
    <t>7b9c98</t>
  </si>
  <si>
    <t>eaf1f3</t>
  </si>
  <si>
    <t>495755</t>
  </si>
  <si>
    <t>727474</t>
  </si>
  <si>
    <t>2f343f</t>
  </si>
  <si>
    <t>303c36</t>
  </si>
  <si>
    <t>7fa482</t>
  </si>
  <si>
    <t>95d5b2</t>
  </si>
  <si>
    <t>a59682</t>
  </si>
  <si>
    <t>cac4be</t>
  </si>
  <si>
    <t>84a98c</t>
  </si>
  <si>
    <t>181d1a</t>
  </si>
  <si>
    <t>131313</t>
  </si>
  <si>
    <t>e9f5db</t>
  </si>
  <si>
    <t>4e6455</t>
  </si>
  <si>
    <t>415046</t>
  </si>
  <si>
    <t>634e4e</t>
  </si>
  <si>
    <t>343d36</t>
  </si>
  <si>
    <t>4e6263</t>
  </si>
  <si>
    <t>62634f</t>
  </si>
  <si>
    <t>2c3222</t>
  </si>
  <si>
    <t>2c2927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</si>
</sst>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7" formatCode="[$-409]mmm\-yy;@"/>
  </numFmts>
  <fonts count="5">
    <font>
      <sz val="11"/>
      <color theme="1"/>
      <name val="Calibri"/>
      <family val="2"/>
      <scheme val="minor"/>
    </font>
    <font>
      <sz val="11"/>
      <color theme="1"/>
      <name val="Aptos"/>
    </font>
    <font>
      <sz val="12"/>
      <color theme="1"/>
      <name val="Aptos"/>
    </font>
    <font>
      <sz val="12"/>
      <color rgb="FF000000"/>
      <name val="Aptos"/>
    </font>
    <font>
      <sz val="12"/>
      <color theme="0"/>
      <name val="Aptos"/>
    </font>
  </fonts>
  <fills count="24">
    <fill>
      <patternFill patternType="none"/>
    </fill>
    <fill>
      <patternFill patternType="gray125"/>
    </fill>
    <fill>
      <patternFill patternType="solid">
        <fgColor rgb="FF7B9C98"/>
        <bgColor indexed="64"/>
      </patternFill>
    </fill>
    <fill>
      <patternFill patternType="solid">
        <fgColor rgb="FFEAF1F3"/>
        <bgColor indexed="64"/>
      </patternFill>
    </fill>
    <fill>
      <patternFill patternType="solid">
        <fgColor rgb="FF495755"/>
        <bgColor indexed="64"/>
      </patternFill>
    </fill>
    <fill>
      <patternFill patternType="solid">
        <fgColor rgb="FF727474"/>
        <bgColor indexed="64"/>
      </patternFill>
    </fill>
    <fill>
      <patternFill patternType="solid">
        <fgColor rgb="FF7FA482"/>
        <bgColor indexed="64"/>
      </patternFill>
    </fill>
    <fill>
      <patternFill patternType="solid">
        <fgColor rgb="FFCAC4BE"/>
        <bgColor indexed="64"/>
      </patternFill>
    </fill>
    <fill>
      <patternFill patternType="solid">
        <fgColor rgb="FF131313"/>
        <bgColor indexed="64"/>
      </patternFill>
    </fill>
    <fill>
      <patternFill patternType="solid">
        <fgColor rgb="FF2F343F"/>
        <bgColor indexed="64"/>
      </patternFill>
    </fill>
    <fill>
      <patternFill patternType="solid">
        <fgColor rgb="FF95D5B2"/>
        <bgColor indexed="64"/>
      </patternFill>
    </fill>
    <fill>
      <patternFill patternType="solid">
        <fgColor rgb="FF84A98C"/>
        <bgColor indexed="64"/>
      </patternFill>
    </fill>
    <fill>
      <patternFill patternType="solid">
        <fgColor rgb="FFE9F5DB"/>
        <bgColor indexed="64"/>
      </patternFill>
    </fill>
    <fill>
      <patternFill patternType="solid">
        <fgColor rgb="FF303C36"/>
        <bgColor indexed="64"/>
      </patternFill>
    </fill>
    <fill>
      <patternFill patternType="solid">
        <fgColor rgb="FFA59682"/>
        <bgColor indexed="64"/>
      </patternFill>
    </fill>
    <fill>
      <patternFill patternType="solid">
        <fgColor rgb="FF181D1A"/>
        <bgColor indexed="64"/>
      </patternFill>
    </fill>
    <fill>
      <patternFill patternType="solid">
        <fgColor rgb="FF4E6455"/>
        <bgColor indexed="64"/>
      </patternFill>
    </fill>
    <fill>
      <patternFill patternType="solid">
        <fgColor rgb="FF415046"/>
        <bgColor indexed="64"/>
      </patternFill>
    </fill>
    <fill>
      <patternFill patternType="solid">
        <fgColor rgb="FF343D36"/>
        <bgColor indexed="64"/>
      </patternFill>
    </fill>
    <fill>
      <patternFill patternType="solid">
        <fgColor rgb="FF2C3222"/>
        <bgColor indexed="64"/>
      </patternFill>
    </fill>
    <fill>
      <patternFill patternType="solid">
        <fgColor rgb="FF2C2927"/>
        <bgColor indexed="64"/>
      </patternFill>
    </fill>
    <fill>
      <patternFill patternType="solid">
        <fgColor rgb="FF634E4E"/>
        <bgColor indexed="64"/>
      </patternFill>
    </fill>
    <fill>
      <patternFill patternType="solid">
        <fgColor rgb="FF4E6263"/>
        <bgColor indexed="64"/>
      </patternFill>
    </fill>
    <fill>
      <patternFill patternType="solid">
        <fgColor rgb="FF62634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2" fillId="0" borderId="1" xfId="0" applyFont="1" applyBorder="1"/>
    <xf numFmtId="49" fontId="3" fillId="3" borderId="1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4" fillId="8" borderId="0" xfId="0" applyNumberFormat="1" applyFont="1" applyFill="1" applyAlignment="1">
      <alignment horizontal="center" vertical="center"/>
    </xf>
    <xf numFmtId="49" fontId="4" fillId="9" borderId="0" xfId="0" applyNumberFormat="1" applyFont="1" applyFill="1" applyAlignment="1">
      <alignment horizontal="center" vertical="center"/>
    </xf>
    <xf numFmtId="49" fontId="3" fillId="10" borderId="0" xfId="0" applyNumberFormat="1" applyFont="1" applyFill="1" applyAlignment="1">
      <alignment horizontal="center" vertical="center"/>
    </xf>
    <xf numFmtId="49" fontId="3" fillId="11" borderId="0" xfId="0" applyNumberFormat="1" applyFont="1" applyFill="1" applyAlignment="1">
      <alignment horizontal="center" vertical="center"/>
    </xf>
    <xf numFmtId="49" fontId="3" fillId="12" borderId="0" xfId="0" applyNumberFormat="1" applyFont="1" applyFill="1" applyAlignment="1">
      <alignment horizontal="center" vertical="center"/>
    </xf>
    <xf numFmtId="49" fontId="4" fillId="13" borderId="0" xfId="0" applyNumberFormat="1" applyFont="1" applyFill="1" applyAlignment="1">
      <alignment horizontal="center" vertical="center"/>
    </xf>
    <xf numFmtId="49" fontId="3" fillId="14" borderId="0" xfId="0" applyNumberFormat="1" applyFont="1" applyFill="1" applyAlignment="1">
      <alignment horizontal="center" vertical="center"/>
    </xf>
    <xf numFmtId="49" fontId="4" fillId="1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left" vertical="center"/>
    </xf>
    <xf numFmtId="49" fontId="3" fillId="7" borderId="2" xfId="0" applyNumberFormat="1" applyFont="1" applyFill="1" applyBorder="1" applyAlignment="1">
      <alignment horizontal="left" vertical="center"/>
    </xf>
    <xf numFmtId="49" fontId="4" fillId="8" borderId="2" xfId="0" applyNumberFormat="1" applyFont="1" applyFill="1" applyBorder="1" applyAlignment="1">
      <alignment horizontal="left" vertical="center"/>
    </xf>
    <xf numFmtId="0" fontId="2" fillId="0" borderId="2" xfId="0" applyFont="1" applyBorder="1"/>
    <xf numFmtId="0" fontId="1" fillId="0" borderId="0" xfId="0" applyFont="1" applyAlignment="1">
      <alignment horizontal="center" vertical="center"/>
    </xf>
    <xf numFmtId="49" fontId="4" fillId="16" borderId="0" xfId="0" applyNumberFormat="1" applyFont="1" applyFill="1" applyAlignment="1">
      <alignment horizontal="center" vertical="center"/>
    </xf>
    <xf numFmtId="49" fontId="4" fillId="17" borderId="0" xfId="0" applyNumberFormat="1" applyFont="1" applyFill="1" applyAlignment="1">
      <alignment horizontal="center" vertical="center"/>
    </xf>
    <xf numFmtId="49" fontId="4" fillId="18" borderId="0" xfId="0" applyNumberFormat="1" applyFont="1" applyFill="1" applyAlignment="1">
      <alignment horizontal="center" vertical="center"/>
    </xf>
    <xf numFmtId="49" fontId="4" fillId="19" borderId="0" xfId="0" applyNumberFormat="1" applyFont="1" applyFill="1" applyAlignment="1">
      <alignment horizontal="center" vertical="center"/>
    </xf>
    <xf numFmtId="49" fontId="4" fillId="20" borderId="0" xfId="0" applyNumberFormat="1" applyFont="1" applyFill="1" applyAlignment="1">
      <alignment horizontal="center" vertical="center"/>
    </xf>
    <xf numFmtId="49" fontId="4" fillId="21" borderId="0" xfId="0" applyNumberFormat="1" applyFont="1" applyFill="1" applyAlignment="1">
      <alignment horizontal="center" vertical="center"/>
    </xf>
    <xf numFmtId="49" fontId="4" fillId="22" borderId="0" xfId="0" applyNumberFormat="1" applyFont="1" applyFill="1" applyAlignment="1">
      <alignment horizontal="center" vertical="center"/>
    </xf>
    <xf numFmtId="49" fontId="4" fillId="23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4" fillId="4" borderId="0" xfId="0" applyNumberFormat="1" applyFont="1" applyFill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/>
  </cellXfs>
  <cellStyles count="1">
    <cellStyle name="Normal" xfId="0" builtinId="0"/>
  </cellStyles>
  <dxfs count="3">
    <dxf>
      <font>
        <color theme="0"/>
      </font>
      <fill>
        <patternFill patternType="solid">
          <bgColor rgb="FF415046"/>
        </patternFill>
      </fill>
    </dxf>
    <dxf>
      <font>
        <color theme="0"/>
      </font>
      <fill>
        <patternFill patternType="solid">
          <bgColor rgb="FF634E4E"/>
        </patternFill>
      </fill>
    </dxf>
    <dxf>
      <font>
        <color theme="0"/>
      </font>
      <fill>
        <patternFill patternType="solid">
          <bgColor theme="1" tint="0.249977111117893"/>
        </patternFill>
      </fill>
    </dxf>
  </dxfs>
  <tableStyles count="0" defaultTableStyle="TableStyleMedium2" defaultPivotStyle="PivotStyleMedium9"/>
  <colors>
    <mruColors>
      <color rgb="FF634E4E"/>
      <color rgb="FF4E6455"/>
      <color rgb="FF415046"/>
      <color rgb="FF131313"/>
      <color rgb="FF2C2927"/>
      <color rgb="FFA59682"/>
      <color rgb="FF727474"/>
      <color rgb="FF7B9C98"/>
      <color rgb="FFEAF1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3D22-385F-4604-BC4B-28EA974F8713}">
  <sheetPr>
    <tabColor theme="0" tint="-0.14999847407452621"/>
  </sheetPr>
  <dimension ref="B1:E21"/>
  <sheetViews>
    <sheetView tabSelected="1" workbookViewId="0">
      <selection activeCell="C28" sqref="C28"/>
    </sheetView>
  </sheetViews>
  <sheetFormatPr defaultColWidth="0" defaultRowHeight="20.25" customHeight="1"/>
  <cols>
    <col min="1" max="1" width="5.7109375" style="1" customWidth="1"/>
    <col min="2" max="2" width="20.7109375" style="2" customWidth="1"/>
    <col min="3" max="3" width="130.7109375" style="2" customWidth="1"/>
    <col min="4" max="4" width="15.7109375" style="24" customWidth="1"/>
    <col min="5" max="5" width="15.7109375" style="2" customWidth="1"/>
    <col min="6" max="6" width="10.7109375" style="1" customWidth="1"/>
    <col min="7" max="16384" width="0" style="1" hidden="1"/>
  </cols>
  <sheetData>
    <row r="1" spans="2:5" ht="20.25" customHeight="1">
      <c r="B1" s="19" t="s">
        <v>0</v>
      </c>
      <c r="C1" s="4" t="s">
        <v>1</v>
      </c>
      <c r="D1" s="20" t="s">
        <v>2</v>
      </c>
      <c r="E1" s="3" t="s">
        <v>3</v>
      </c>
    </row>
    <row r="2" spans="2:5" ht="20.25" customHeight="1">
      <c r="B2" s="2" t="s">
        <v>4</v>
      </c>
      <c r="C2" s="2" t="s">
        <v>5</v>
      </c>
      <c r="D2" s="21" t="s">
        <v>6</v>
      </c>
    </row>
    <row r="3" spans="2:5" ht="20.25" customHeight="1">
      <c r="B3" s="2" t="s">
        <v>7</v>
      </c>
      <c r="C3" s="2" t="s">
        <v>8</v>
      </c>
      <c r="D3" s="22" t="s">
        <v>9</v>
      </c>
    </row>
    <row r="4" spans="2:5" ht="20.25" customHeight="1">
      <c r="B4" s="2" t="s">
        <v>10</v>
      </c>
      <c r="C4" s="2" t="s">
        <v>11</v>
      </c>
      <c r="D4" s="22" t="s">
        <v>9</v>
      </c>
    </row>
    <row r="5" spans="2:5" ht="20.25" customHeight="1">
      <c r="B5" s="2" t="s">
        <v>12</v>
      </c>
      <c r="C5" s="2" t="s">
        <v>13</v>
      </c>
      <c r="D5" s="22" t="s">
        <v>9</v>
      </c>
    </row>
    <row r="6" spans="2:5" ht="20.25" customHeight="1">
      <c r="B6" s="2" t="s">
        <v>14</v>
      </c>
      <c r="C6" s="2" t="s">
        <v>15</v>
      </c>
      <c r="D6" s="23" t="s">
        <v>16</v>
      </c>
    </row>
    <row r="8" spans="2:5" ht="20.25" customHeight="1">
      <c r="B8" s="2" t="s">
        <v>17</v>
      </c>
      <c r="C8" s="2" t="s">
        <v>18</v>
      </c>
      <c r="D8" s="22" t="s">
        <v>9</v>
      </c>
    </row>
    <row r="9" spans="2:5" ht="20.25" customHeight="1">
      <c r="B9" s="2" t="s">
        <v>19</v>
      </c>
      <c r="C9" s="2" t="s">
        <v>20</v>
      </c>
      <c r="D9" s="23" t="s">
        <v>16</v>
      </c>
    </row>
    <row r="10" spans="2:5" ht="20.25" customHeight="1">
      <c r="B10" s="2" t="s">
        <v>21</v>
      </c>
      <c r="C10" s="2" t="s">
        <v>22</v>
      </c>
      <c r="D10" s="23" t="s">
        <v>16</v>
      </c>
    </row>
    <row r="11" spans="2:5" ht="20.25" customHeight="1">
      <c r="B11" s="2" t="s">
        <v>23</v>
      </c>
      <c r="C11" s="2" t="s">
        <v>24</v>
      </c>
    </row>
    <row r="12" spans="2:5" ht="20.25" customHeight="1">
      <c r="B12" s="2" t="s">
        <v>23</v>
      </c>
      <c r="C12" s="2" t="s">
        <v>25</v>
      </c>
    </row>
    <row r="13" spans="2:5" ht="20.25" customHeight="1">
      <c r="B13" s="2" t="s">
        <v>23</v>
      </c>
      <c r="C13" s="2" t="s">
        <v>25</v>
      </c>
    </row>
    <row r="14" spans="2:5" ht="20.25" customHeight="1">
      <c r="B14" s="2" t="s">
        <v>23</v>
      </c>
      <c r="C14" s="2" t="s">
        <v>25</v>
      </c>
    </row>
    <row r="15" spans="2:5" ht="20.25" customHeight="1">
      <c r="B15" s="2" t="s">
        <v>23</v>
      </c>
      <c r="C15" s="2" t="s">
        <v>25</v>
      </c>
    </row>
    <row r="16" spans="2:5" ht="20.25" customHeight="1">
      <c r="B16" s="2" t="s">
        <v>26</v>
      </c>
      <c r="C16" s="2" t="s">
        <v>27</v>
      </c>
      <c r="D16" s="23" t="s">
        <v>16</v>
      </c>
    </row>
    <row r="17" spans="2:4" ht="20.25" customHeight="1">
      <c r="B17" s="2" t="s">
        <v>28</v>
      </c>
      <c r="C17" s="2" t="s">
        <v>29</v>
      </c>
      <c r="D17" s="23" t="s">
        <v>16</v>
      </c>
    </row>
    <row r="19" spans="2:4" ht="20.25" customHeight="1">
      <c r="B19" s="2" t="s">
        <v>30</v>
      </c>
      <c r="C19" s="2" t="s">
        <v>31</v>
      </c>
      <c r="D19" s="23" t="s">
        <v>16</v>
      </c>
    </row>
    <row r="20" spans="2:4" ht="20.25" customHeight="1">
      <c r="B20" s="2" t="s">
        <v>32</v>
      </c>
      <c r="C20" s="2" t="s">
        <v>33</v>
      </c>
      <c r="D20" s="23" t="s">
        <v>16</v>
      </c>
    </row>
    <row r="21" spans="2:4" ht="20.25" customHeight="1">
      <c r="B21" s="2" t="s">
        <v>34</v>
      </c>
      <c r="C21" s="2" t="s">
        <v>35</v>
      </c>
      <c r="D21" s="23" t="s">
        <v>16</v>
      </c>
    </row>
  </sheetData>
  <dataValidations count="1">
    <dataValidation type="list" allowBlank="1" showInputMessage="1" showErrorMessage="1" sqref="D7:D1048576 D2:D6" xr:uid="{31645910-4188-4B46-B1CD-DF86FA8865FF}">
      <formula1>"daily, weekly, monthly"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E6455"/>
  </sheetPr>
  <dimension ref="B1:M21"/>
  <sheetViews>
    <sheetView workbookViewId="0">
      <selection activeCell="E25" sqref="E25"/>
    </sheetView>
  </sheetViews>
  <sheetFormatPr defaultColWidth="10.7109375" defaultRowHeight="20.25" customHeight="1"/>
  <cols>
    <col min="1" max="1" width="10.7109375" style="1"/>
    <col min="2" max="3" width="15.7109375" style="1" customWidth="1"/>
    <col min="4" max="4" width="5.7109375" style="1" customWidth="1"/>
    <col min="5" max="5" width="20.7109375" style="36" customWidth="1"/>
    <col min="6" max="6" width="15.7109375" style="40" customWidth="1"/>
    <col min="7" max="8" width="15.7109375" style="38" customWidth="1"/>
    <col min="9" max="9" width="15.7109375" style="39" customWidth="1"/>
    <col min="10" max="10" width="15.7109375" style="2" customWidth="1"/>
    <col min="11" max="11" width="5.7109375" style="1" customWidth="1"/>
    <col min="12" max="16384" width="10.7109375" style="1"/>
  </cols>
  <sheetData>
    <row r="1" spans="2:13" s="18" customFormat="1" ht="20.25" customHeight="1">
      <c r="B1" s="34" t="s">
        <v>36</v>
      </c>
      <c r="C1" s="35">
        <f ca="1">TODAY()</f>
        <v>46298</v>
      </c>
      <c r="E1" s="19" t="s">
        <v>0</v>
      </c>
      <c r="F1" s="19" t="s">
        <v>37</v>
      </c>
      <c r="G1" s="37" t="s">
        <v>38</v>
      </c>
      <c r="H1" s="37" t="s">
        <v>39</v>
      </c>
      <c r="I1" s="37" t="s">
        <v>40</v>
      </c>
      <c r="J1" s="16" t="s">
        <v>41</v>
      </c>
      <c r="K1" s="1"/>
      <c r="M1" s="1"/>
    </row>
    <row r="2" spans="2:13" ht="20.25" customHeight="1">
      <c r="E2" s="36" t="s">
        <v>4</v>
      </c>
      <c r="F2" s="40">
        <v>46296</v>
      </c>
      <c r="G2" s="38">
        <v>31</v>
      </c>
      <c r="H2" s="38">
        <v>2</v>
      </c>
      <c r="I2" s="39">
        <f>H2 / G2</f>
        <v>6.4516129032258063E-2</v>
      </c>
      <c r="J2" s="2" t="b">
        <v>0</v>
      </c>
    </row>
    <row r="3" spans="2:13" ht="20.25" customHeight="1">
      <c r="E3" s="36" t="s">
        <v>7</v>
      </c>
      <c r="F3" s="40">
        <v>46296</v>
      </c>
      <c r="G3" s="38">
        <v>4</v>
      </c>
      <c r="H3" s="38">
        <v>0</v>
      </c>
      <c r="I3" s="39">
        <f t="shared" ref="I3:I33" si="0">H3 / G3</f>
        <v>0</v>
      </c>
      <c r="J3" s="2" t="b">
        <v>0</v>
      </c>
    </row>
    <row r="4" spans="2:13" ht="20.25" customHeight="1">
      <c r="B4" s="5" t="s">
        <v>42</v>
      </c>
      <c r="E4" s="36" t="s">
        <v>10</v>
      </c>
      <c r="F4" s="40">
        <v>46296</v>
      </c>
      <c r="G4" s="38">
        <v>1</v>
      </c>
      <c r="H4" s="38">
        <v>0</v>
      </c>
      <c r="I4" s="39">
        <f t="shared" si="0"/>
        <v>0</v>
      </c>
      <c r="J4" s="2" t="b">
        <v>0</v>
      </c>
    </row>
    <row r="5" spans="2:13" ht="20.25" customHeight="1">
      <c r="B5" s="6" t="s">
        <v>43</v>
      </c>
      <c r="E5" s="36" t="s">
        <v>12</v>
      </c>
      <c r="F5" s="40">
        <v>46296</v>
      </c>
      <c r="G5" s="38">
        <v>4</v>
      </c>
      <c r="H5" s="38">
        <v>0</v>
      </c>
      <c r="I5" s="39">
        <f t="shared" si="0"/>
        <v>0</v>
      </c>
      <c r="J5" s="2" t="b">
        <v>0</v>
      </c>
    </row>
    <row r="6" spans="2:13" ht="20.25" customHeight="1">
      <c r="B6" s="7" t="s">
        <v>44</v>
      </c>
      <c r="E6" s="36" t="s">
        <v>14</v>
      </c>
      <c r="F6" s="40">
        <v>46296</v>
      </c>
      <c r="G6" s="38">
        <v>1</v>
      </c>
      <c r="H6" s="38">
        <v>0</v>
      </c>
      <c r="I6" s="39">
        <f t="shared" si="0"/>
        <v>0</v>
      </c>
      <c r="J6" s="2" t="b">
        <v>0</v>
      </c>
    </row>
    <row r="7" spans="2:13" ht="20.25" customHeight="1">
      <c r="B7" s="6" t="s">
        <v>43</v>
      </c>
      <c r="E7" s="36" t="s">
        <v>4</v>
      </c>
      <c r="F7" s="40">
        <v>46327</v>
      </c>
      <c r="G7" s="38">
        <v>30</v>
      </c>
      <c r="H7" s="38">
        <v>0</v>
      </c>
      <c r="I7" s="39">
        <f t="shared" si="0"/>
        <v>0</v>
      </c>
      <c r="J7" s="2" t="b">
        <v>0</v>
      </c>
    </row>
    <row r="8" spans="2:13" ht="20.25" customHeight="1">
      <c r="E8" s="36" t="s">
        <v>7</v>
      </c>
      <c r="F8" s="40">
        <v>46327</v>
      </c>
      <c r="G8" s="38">
        <v>4</v>
      </c>
      <c r="H8" s="38">
        <v>0</v>
      </c>
      <c r="I8" s="39">
        <f t="shared" si="0"/>
        <v>0</v>
      </c>
      <c r="J8" s="2" t="b">
        <v>0</v>
      </c>
    </row>
    <row r="9" spans="2:13" ht="20.25" customHeight="1">
      <c r="E9" s="36" t="s">
        <v>10</v>
      </c>
      <c r="F9" s="40">
        <v>46327</v>
      </c>
      <c r="G9" s="38">
        <v>1</v>
      </c>
      <c r="H9" s="38">
        <v>0</v>
      </c>
      <c r="I9" s="39">
        <f t="shared" si="0"/>
        <v>0</v>
      </c>
      <c r="J9" s="2" t="b">
        <v>0</v>
      </c>
    </row>
    <row r="10" spans="2:13" ht="20.25" customHeight="1">
      <c r="E10" s="36" t="s">
        <v>12</v>
      </c>
      <c r="F10" s="40">
        <v>46327</v>
      </c>
      <c r="G10" s="38">
        <v>4</v>
      </c>
      <c r="H10" s="38">
        <v>0</v>
      </c>
      <c r="I10" s="39">
        <f t="shared" si="0"/>
        <v>0</v>
      </c>
      <c r="J10" s="2" t="b">
        <v>0</v>
      </c>
    </row>
    <row r="11" spans="2:13" ht="20.25" customHeight="1">
      <c r="E11" s="36" t="s">
        <v>14</v>
      </c>
      <c r="F11" s="40">
        <v>46327</v>
      </c>
      <c r="G11" s="38">
        <v>1</v>
      </c>
      <c r="H11" s="38">
        <v>0</v>
      </c>
      <c r="I11" s="39">
        <f t="shared" si="0"/>
        <v>0</v>
      </c>
      <c r="J11" s="2" t="b">
        <v>0</v>
      </c>
    </row>
    <row r="12" spans="2:13" ht="20.25" customHeight="1">
      <c r="E12" s="36" t="s">
        <v>4</v>
      </c>
      <c r="F12" s="40">
        <v>46357</v>
      </c>
      <c r="G12" s="38">
        <v>31</v>
      </c>
      <c r="H12" s="38">
        <v>0</v>
      </c>
      <c r="I12" s="39">
        <f t="shared" si="0"/>
        <v>0</v>
      </c>
      <c r="J12" s="2" t="b">
        <v>0</v>
      </c>
    </row>
    <row r="13" spans="2:13" ht="20.25" customHeight="1">
      <c r="E13" s="36" t="s">
        <v>7</v>
      </c>
      <c r="F13" s="40">
        <v>46357</v>
      </c>
      <c r="G13" s="38">
        <v>4</v>
      </c>
      <c r="H13" s="38">
        <v>0</v>
      </c>
      <c r="I13" s="39">
        <f t="shared" si="0"/>
        <v>0</v>
      </c>
      <c r="J13" s="2" t="b">
        <v>0</v>
      </c>
    </row>
    <row r="14" spans="2:13" ht="20.25" customHeight="1">
      <c r="E14" s="36" t="s">
        <v>10</v>
      </c>
      <c r="F14" s="40">
        <v>46357</v>
      </c>
      <c r="G14" s="38">
        <v>1</v>
      </c>
      <c r="H14" s="38">
        <v>0</v>
      </c>
      <c r="I14" s="39">
        <f t="shared" si="0"/>
        <v>0</v>
      </c>
      <c r="J14" s="2" t="b">
        <v>0</v>
      </c>
    </row>
    <row r="15" spans="2:13" ht="20.25" customHeight="1">
      <c r="E15" s="36" t="s">
        <v>12</v>
      </c>
      <c r="F15" s="40">
        <v>46357</v>
      </c>
      <c r="G15" s="38">
        <v>4</v>
      </c>
      <c r="H15" s="38">
        <v>0</v>
      </c>
      <c r="I15" s="39">
        <f t="shared" si="0"/>
        <v>0</v>
      </c>
      <c r="J15" s="2" t="b">
        <v>0</v>
      </c>
    </row>
    <row r="16" spans="2:13" ht="20.25" customHeight="1">
      <c r="E16" s="36" t="s">
        <v>14</v>
      </c>
      <c r="F16" s="40">
        <v>46357</v>
      </c>
      <c r="G16" s="38">
        <v>1</v>
      </c>
      <c r="H16" s="38">
        <v>0</v>
      </c>
      <c r="I16" s="39">
        <f t="shared" si="0"/>
        <v>0</v>
      </c>
      <c r="J16" s="2" t="b">
        <v>0</v>
      </c>
    </row>
    <row r="17" spans="5:10" ht="20.25" customHeight="1">
      <c r="E17" s="36" t="s">
        <v>4</v>
      </c>
      <c r="F17" s="40">
        <v>46388</v>
      </c>
      <c r="G17" s="38">
        <v>31</v>
      </c>
      <c r="H17" s="38">
        <v>0</v>
      </c>
      <c r="I17" s="39">
        <f t="shared" si="0"/>
        <v>0</v>
      </c>
      <c r="J17" s="2" t="b">
        <v>0</v>
      </c>
    </row>
    <row r="18" spans="5:10" ht="20.25" customHeight="1">
      <c r="E18" s="36" t="s">
        <v>7</v>
      </c>
      <c r="F18" s="40">
        <v>46388</v>
      </c>
      <c r="G18" s="38">
        <v>4</v>
      </c>
      <c r="H18" s="38">
        <v>0</v>
      </c>
      <c r="I18" s="39">
        <f t="shared" si="0"/>
        <v>0</v>
      </c>
      <c r="J18" s="2" t="b">
        <v>0</v>
      </c>
    </row>
    <row r="19" spans="5:10" ht="20.25" customHeight="1">
      <c r="E19" s="36" t="s">
        <v>10</v>
      </c>
      <c r="F19" s="40">
        <v>46388</v>
      </c>
      <c r="G19" s="38">
        <v>1</v>
      </c>
      <c r="H19" s="38">
        <v>0</v>
      </c>
      <c r="I19" s="39">
        <f t="shared" si="0"/>
        <v>0</v>
      </c>
      <c r="J19" s="2" t="b">
        <v>0</v>
      </c>
    </row>
    <row r="20" spans="5:10" ht="20.25" customHeight="1">
      <c r="E20" s="36" t="s">
        <v>12</v>
      </c>
      <c r="F20" s="40">
        <v>46388</v>
      </c>
      <c r="G20" s="38">
        <v>4</v>
      </c>
      <c r="H20" s="38">
        <v>0</v>
      </c>
      <c r="I20" s="39">
        <f t="shared" si="0"/>
        <v>0</v>
      </c>
      <c r="J20" s="2" t="b">
        <v>0</v>
      </c>
    </row>
    <row r="21" spans="5:10" ht="20.25" customHeight="1">
      <c r="E21" s="36" t="s">
        <v>14</v>
      </c>
      <c r="F21" s="40">
        <v>46388</v>
      </c>
      <c r="G21" s="38">
        <v>1</v>
      </c>
      <c r="H21" s="38">
        <v>0</v>
      </c>
      <c r="I21" s="39">
        <f t="shared" si="0"/>
        <v>0</v>
      </c>
      <c r="J21" s="2" t="b">
        <v>0</v>
      </c>
    </row>
  </sheetData>
  <autoFilter ref="E1:J33" xr:uid="{00000000-0001-0000-0000-000000000000}">
    <sortState xmlns:xlrd2="http://schemas.microsoft.com/office/spreadsheetml/2017/richdata2" ref="E2:J65">
      <sortCondition ref="E1:E33"/>
    </sortState>
  </autoFilter>
  <conditionalFormatting sqref="F1:J1048576">
    <cfRule type="expression" dxfId="2" priority="9">
      <formula>AND($F1 &gt; $C$1, ISNUMBER(VALUE($F1)))</formula>
    </cfRule>
  </conditionalFormatting>
  <conditionalFormatting sqref="F1:J1048576">
    <cfRule type="expression" dxfId="1" priority="14">
      <formula>AND( NOT(ISBLANK($J1)), $J1 = FALSE )</formula>
    </cfRule>
  </conditionalFormatting>
  <conditionalFormatting sqref="F1:J1048576">
    <cfRule type="expression" dxfId="0" priority="16">
      <formula>$J1 = TRUE</formula>
    </cfRule>
  </conditionalFormatting>
  <dataValidations count="1">
    <dataValidation type="list" allowBlank="1" showInputMessage="1" showErrorMessage="1" sqref="J2:J1048576" xr:uid="{D4ED7E77-DDFF-472C-A027-F926ACCDA6A3}">
      <formula1>"FALSE, TRUE"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C23C-F0AD-43CC-8C50-F1DFEC888684}">
  <sheetPr>
    <tabColor theme="1"/>
  </sheetPr>
  <dimension ref="K1:Q29"/>
  <sheetViews>
    <sheetView workbookViewId="0">
      <selection activeCell="G29" sqref="G29"/>
    </sheetView>
  </sheetViews>
  <sheetFormatPr defaultColWidth="10.7109375" defaultRowHeight="20.25" customHeight="1"/>
  <cols>
    <col min="1" max="16384" width="10.7109375" style="1"/>
  </cols>
  <sheetData>
    <row r="1" spans="11:17" ht="20.25" customHeight="1">
      <c r="K1" s="18"/>
    </row>
    <row r="2" spans="11:17" ht="20.25" customHeight="1">
      <c r="K2" s="5" t="s">
        <v>42</v>
      </c>
      <c r="M2" s="8" t="s">
        <v>45</v>
      </c>
      <c r="O2" s="11" t="s">
        <v>46</v>
      </c>
      <c r="Q2" s="15" t="s">
        <v>47</v>
      </c>
    </row>
    <row r="3" spans="11:17" ht="20.25" customHeight="1">
      <c r="K3" s="6" t="s">
        <v>43</v>
      </c>
      <c r="M3" s="9" t="s">
        <v>48</v>
      </c>
      <c r="O3" s="12" t="s">
        <v>49</v>
      </c>
      <c r="Q3" s="16" t="s">
        <v>50</v>
      </c>
    </row>
    <row r="4" spans="11:17" ht="20.25" customHeight="1">
      <c r="K4" s="7" t="s">
        <v>44</v>
      </c>
      <c r="M4" s="4" t="s">
        <v>51</v>
      </c>
      <c r="O4" s="13" t="s">
        <v>52</v>
      </c>
      <c r="Q4" s="17" t="s">
        <v>53</v>
      </c>
    </row>
    <row r="5" spans="11:17" ht="20.25" customHeight="1">
      <c r="K5" s="6" t="s">
        <v>43</v>
      </c>
      <c r="M5" s="10" t="s">
        <v>54</v>
      </c>
      <c r="O5" s="14" t="s">
        <v>55</v>
      </c>
      <c r="Q5" s="16" t="s">
        <v>50</v>
      </c>
    </row>
    <row r="6" spans="11:17" ht="20.25" customHeight="1">
      <c r="K6" s="18"/>
      <c r="L6" s="26" t="s">
        <v>56</v>
      </c>
      <c r="M6" s="18"/>
      <c r="N6" s="26" t="s">
        <v>56</v>
      </c>
    </row>
    <row r="7" spans="11:17" ht="20.25" customHeight="1">
      <c r="L7" s="27" t="s">
        <v>57</v>
      </c>
      <c r="N7" s="31" t="s">
        <v>58</v>
      </c>
    </row>
    <row r="8" spans="11:17" ht="20.25" customHeight="1">
      <c r="L8" s="28" t="s">
        <v>59</v>
      </c>
      <c r="N8" s="32" t="s">
        <v>60</v>
      </c>
    </row>
    <row r="9" spans="11:17" ht="20.25" customHeight="1">
      <c r="L9" s="18"/>
      <c r="N9" s="33" t="s">
        <v>61</v>
      </c>
    </row>
    <row r="10" spans="11:17" ht="20.25" customHeight="1">
      <c r="L10" s="29" t="s">
        <v>62</v>
      </c>
    </row>
    <row r="11" spans="11:17" ht="20.25" customHeight="1">
      <c r="L11" s="30" t="s">
        <v>63</v>
      </c>
    </row>
    <row r="16" spans="11:17" ht="20.25" customHeight="1">
      <c r="K16" s="18"/>
    </row>
    <row r="21" spans="11:11" ht="20.25" customHeight="1">
      <c r="K21" s="25"/>
    </row>
    <row r="26" spans="11:11" ht="20.25" customHeight="1">
      <c r="K26" s="18"/>
    </row>
    <row r="29" spans="11:11" ht="20.25" customHeight="1">
      <c r="K29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7CFD-5BB6-485B-AF72-03DF5F822BEB}">
  <dimension ref="K16:K29"/>
  <sheetViews>
    <sheetView workbookViewId="0">
      <selection activeCell="U14" sqref="U14"/>
    </sheetView>
  </sheetViews>
  <sheetFormatPr defaultColWidth="10.7109375" defaultRowHeight="20.25" customHeight="1"/>
  <cols>
    <col min="1" max="16384" width="10.7109375" style="1"/>
  </cols>
  <sheetData>
    <row r="16" spans="11:11" ht="20.25" customHeight="1">
      <c r="K16" s="18"/>
    </row>
    <row r="21" spans="11:11" ht="20.25" customHeight="1">
      <c r="K21" s="25"/>
    </row>
    <row r="26" spans="11:11" ht="20.25" customHeight="1">
      <c r="K26" s="18"/>
    </row>
    <row r="29" spans="11:11" ht="20.25" customHeight="1">
      <c r="K29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hank ng</cp:lastModifiedBy>
  <cp:revision/>
  <dcterms:created xsi:type="dcterms:W3CDTF">2026-10-03T11:05:35Z</dcterms:created>
  <dcterms:modified xsi:type="dcterms:W3CDTF">2026-10-03T14:34:23Z</dcterms:modified>
  <cp:category/>
  <cp:contentStatus/>
</cp:coreProperties>
</file>